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집행 리스트" sheetId="1" state="visible" r:id="rId1"/>
    <sheet xmlns:r="http://schemas.openxmlformats.org/officeDocument/2006/relationships" name="산출근거" sheetId="2" state="visible" r:id="rId2"/>
  </sheets>
  <definedNames>
    <definedName name="_xlnm.Print_Titles" localSheetId="0">'출장비 집행 리스트'!$5:$5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.0"/>
  </numFmts>
  <fonts count="7">
    <font>
      <name val="Calibri"/>
      <family val="2"/>
      <color theme="1"/>
      <sz val="11"/>
      <scheme val="minor"/>
    </font>
    <font>
      <name val="HY헤드라인M"/>
      <sz val="26"/>
    </font>
    <font>
      <name val="맑은 고딕"/>
      <sz val="11"/>
    </font>
    <font>
      <name val="맑은 고딕"/>
      <b val="1"/>
      <sz val="11"/>
    </font>
    <font>
      <name val="맑은 고딕"/>
      <sz val="20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DF3F8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/>
      <right/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.5" customWidth="1" min="2" max="2"/>
    <col width="10" customWidth="1" min="3" max="3"/>
    <col width="16.5" customWidth="1" min="4" max="4"/>
    <col width="10" customWidth="1" min="5" max="5"/>
    <col width="17.5" customWidth="1" min="6" max="6"/>
    <col width="17.5" customWidth="1" min="7" max="7"/>
    <col width="46" customWidth="1" min="8" max="8"/>
    <col width="22" customWidth="1" min="9" max="9"/>
    <col width="11" customWidth="1" min="10" max="10"/>
    <col width="12" customWidth="1" min="11" max="11"/>
    <col width="10" customWidth="1" min="12" max="12"/>
    <col width="10" customWidth="1" min="13" max="13"/>
    <col width="12" customWidth="1" min="14" max="14"/>
    <col width="11" customWidth="1" min="15" max="15"/>
    <col width="12.5" customWidth="1" min="16" max="16"/>
    <col width="12" customWidth="1" min="17" max="17"/>
    <col width="12" customWidth="1" min="18" max="18"/>
    <col width="12" customWidth="1" min="19" max="19"/>
  </cols>
  <sheetData>
    <row r="1" ht="13.5" customHeight="1">
      <c r="B1" s="1" t="inlineStr">
        <is>
          <t>2026년 10월 국내출장 여비 집행 리스트</t>
        </is>
      </c>
    </row>
    <row r="2" ht="13.5" customHeight="1"/>
    <row r="3" ht="13.5" customHeight="1"/>
    <row r="4">
      <c r="B4" s="2" t="inlineStr">
        <is>
          <t>예산과목</t>
        </is>
      </c>
      <c r="C4" s="3" t="inlineStr">
        <is>
          <t>사업운영비-사업비-조사연구비 / 미래형자동차연구개발-연구용역비-조사연구비</t>
        </is>
      </c>
    </row>
    <row r="5" ht="25" customHeight="1">
      <c r="B5" s="4" t="inlineStr">
        <is>
          <t>사번</t>
        </is>
      </c>
      <c r="C5" s="4" t="inlineStr">
        <is>
          <t>성명</t>
        </is>
      </c>
      <c r="D5" s="4" t="inlineStr">
        <is>
          <t>부서</t>
        </is>
      </c>
      <c r="E5" s="4" t="inlineStr">
        <is>
          <t>직급</t>
        </is>
      </c>
      <c r="F5" s="4" t="inlineStr">
        <is>
          <t>기간시작</t>
        </is>
      </c>
      <c r="G5" s="4" t="inlineStr">
        <is>
          <t>기간끝</t>
        </is>
      </c>
      <c r="H5" s="4" t="inlineStr">
        <is>
          <t>사유(용무)</t>
        </is>
      </c>
      <c r="I5" s="4" t="inlineStr">
        <is>
          <t>행선지</t>
        </is>
      </c>
      <c r="J5" s="4" t="inlineStr">
        <is>
          <t>업무용차량</t>
        </is>
      </c>
      <c r="K5" s="4" t="inlineStr">
        <is>
          <t>출장여비</t>
        </is>
      </c>
      <c r="L5" s="4" t="inlineStr">
        <is>
          <t>일비</t>
        </is>
      </c>
      <c r="M5" s="4" t="inlineStr">
        <is>
          <t>식비</t>
        </is>
      </c>
      <c r="N5" s="4" t="inlineStr">
        <is>
          <t>교통비</t>
        </is>
      </c>
      <c r="O5" s="4" t="inlineStr">
        <is>
          <t>출장시간</t>
        </is>
      </c>
      <c r="P5" s="4" t="inlineStr">
        <is>
          <t>주행거리(km)</t>
        </is>
      </c>
      <c r="Q5" s="4" t="inlineStr">
        <is>
          <t>연료비</t>
        </is>
      </c>
      <c r="R5" s="4" t="inlineStr">
        <is>
          <t>통행료</t>
        </is>
      </c>
      <c r="S5" s="4" t="inlineStr">
        <is>
          <t>주차료</t>
        </is>
      </c>
    </row>
    <row r="6" ht="24" customHeight="1">
      <c r="B6" s="5" t="inlineStr">
        <is>
          <t>1234567</t>
        </is>
      </c>
      <c r="C6" s="5" t="inlineStr">
        <is>
          <t>홍길동</t>
        </is>
      </c>
      <c r="D6" s="5" t="inlineStr">
        <is>
          <t>○○부서</t>
        </is>
      </c>
      <c r="E6" s="5" t="inlineStr">
        <is>
          <t>기술 5급</t>
        </is>
      </c>
      <c r="F6" s="5" t="inlineStr">
        <is>
          <t>2026.10.02 09:00</t>
        </is>
      </c>
      <c r="G6" s="5" t="inlineStr">
        <is>
          <t>2026.10.02 13:54</t>
        </is>
      </c>
      <c r="H6" s="6" t="inlineStr">
        <is>
          <t>업무 협의</t>
        </is>
      </c>
      <c r="I6" s="6" t="inlineStr">
        <is>
          <t>서울역</t>
        </is>
      </c>
      <c r="J6" s="5" t="inlineStr">
        <is>
          <t>X</t>
        </is>
      </c>
      <c r="K6" s="7" t="n">
        <v>95161</v>
      </c>
      <c r="L6" s="7" t="n">
        <v>25000</v>
      </c>
      <c r="M6" s="7" t="n">
        <v>16666</v>
      </c>
      <c r="N6" s="7" t="n">
        <v>53495</v>
      </c>
      <c r="O6" s="5" t="inlineStr">
        <is>
          <t>4시간 54분</t>
        </is>
      </c>
      <c r="P6" s="8" t="n">
        <v>250</v>
      </c>
      <c r="Q6" s="7" t="n">
        <v>38795</v>
      </c>
      <c r="R6" s="7" t="n">
        <v>14700</v>
      </c>
      <c r="S6" s="7" t="n">
        <v>0</v>
      </c>
    </row>
    <row r="7" ht="24" customHeight="1">
      <c r="B7" s="5" t="inlineStr">
        <is>
          <t>1234568</t>
        </is>
      </c>
      <c r="C7" s="5" t="inlineStr">
        <is>
          <t>김철수</t>
        </is>
      </c>
      <c r="D7" s="5" t="inlineStr">
        <is>
          <t>○○부서</t>
        </is>
      </c>
      <c r="E7" s="5" t="inlineStr">
        <is>
          <t>기술 5급</t>
        </is>
      </c>
      <c r="F7" s="5" t="inlineStr">
        <is>
          <t>2026.10.05 09:00</t>
        </is>
      </c>
      <c r="G7" s="5" t="inlineStr">
        <is>
          <t>2026.10.05 13:54</t>
        </is>
      </c>
      <c r="H7" s="6" t="inlineStr">
        <is>
          <t>업무 협의</t>
        </is>
      </c>
      <c r="I7" s="6" t="inlineStr">
        <is>
          <t>대구</t>
        </is>
      </c>
      <c r="J7" s="5" t="inlineStr">
        <is>
          <t>X</t>
        </is>
      </c>
      <c r="K7" s="7" t="n">
        <v>105022</v>
      </c>
      <c r="L7" s="7" t="n">
        <v>25000</v>
      </c>
      <c r="M7" s="7" t="n">
        <v>16666</v>
      </c>
      <c r="N7" s="7" t="n">
        <v>63356</v>
      </c>
      <c r="O7" s="5" t="inlineStr">
        <is>
          <t>4시간 54분</t>
        </is>
      </c>
      <c r="P7" s="8" t="n">
        <v>300</v>
      </c>
      <c r="Q7" s="7" t="n">
        <v>46556</v>
      </c>
      <c r="R7" s="7" t="n">
        <v>16800</v>
      </c>
      <c r="S7" s="7" t="n">
        <v>0</v>
      </c>
    </row>
    <row r="8">
      <c r="J8" s="9" t="inlineStr">
        <is>
          <t>총합계</t>
        </is>
      </c>
      <c r="K8" s="10">
        <f>SUM(K6:K7)</f>
        <v/>
      </c>
    </row>
    <row r="9" ht="22" customHeight="1">
      <c r="B9" s="11" t="inlineStr">
        <is>
          <t>여비 지급 개인별 계좌번호</t>
        </is>
      </c>
      <c r="C9" s="17" t="n"/>
      <c r="D9" s="17" t="n"/>
      <c r="E9" s="17" t="n"/>
      <c r="F9" s="17" t="n"/>
      <c r="G9" s="18" t="n"/>
    </row>
    <row r="10"/>
    <row r="11"/>
    <row r="12">
      <c r="B12" s="9" t="inlineStr">
        <is>
          <t>성 명</t>
        </is>
      </c>
      <c r="C12" s="9" t="inlineStr">
        <is>
          <t>은 행</t>
        </is>
      </c>
      <c r="D12" s="9" t="inlineStr">
        <is>
          <t>계좌번호</t>
        </is>
      </c>
      <c r="E12" s="18" t="n"/>
      <c r="F12" s="9" t="inlineStr">
        <is>
          <t>예금주</t>
        </is>
      </c>
      <c r="G12" s="9" t="inlineStr">
        <is>
          <t>합 계</t>
        </is>
      </c>
    </row>
    <row r="13">
      <c r="B13" s="5" t="inlineStr">
        <is>
          <t>홍길동</t>
        </is>
      </c>
      <c r="C13" s="5" t="inlineStr">
        <is>
          <t>신한은행</t>
        </is>
      </c>
      <c r="D13" s="6" t="inlineStr">
        <is>
          <t>123-456-789012</t>
        </is>
      </c>
      <c r="E13" s="18" t="n"/>
      <c r="F13" s="5" t="inlineStr">
        <is>
          <t>홍길동</t>
        </is>
      </c>
      <c r="G13" s="7">
        <f>SUM(K6)</f>
        <v/>
      </c>
    </row>
    <row r="14">
      <c r="B14" s="5" t="inlineStr">
        <is>
          <t>김철수</t>
        </is>
      </c>
      <c r="C14" s="5" t="inlineStr">
        <is>
          <t>신한은행</t>
        </is>
      </c>
      <c r="D14" s="6" t="inlineStr">
        <is>
          <t>123-456-789012</t>
        </is>
      </c>
      <c r="E14" s="18" t="n"/>
      <c r="F14" s="5" t="inlineStr">
        <is>
          <t>김철수</t>
        </is>
      </c>
      <c r="G14" s="7">
        <f>SUM(K7)</f>
        <v/>
      </c>
    </row>
    <row r="15">
      <c r="G15" s="10">
        <f>SUM(G13:G14)</f>
        <v/>
      </c>
    </row>
  </sheetData>
  <mergeCells count="6">
    <mergeCell ref="D13:E13"/>
    <mergeCell ref="C4:S4"/>
    <mergeCell ref="B9:G9"/>
    <mergeCell ref="D14:E14"/>
    <mergeCell ref="B1:S3"/>
    <mergeCell ref="D12:E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1">
      <c r="A1" s="13" t="inlineStr">
        <is>
          <t>성명</t>
        </is>
      </c>
      <c r="B1" s="13" t="inlineStr">
        <is>
          <t>출장구분</t>
        </is>
      </c>
      <c r="C1" s="13" t="inlineStr">
        <is>
          <t>경로</t>
        </is>
      </c>
      <c r="D1" s="13" t="inlineStr">
        <is>
          <t>차종/유종</t>
        </is>
      </c>
      <c r="E1" s="13" t="inlineStr">
        <is>
          <t>기준연비</t>
        </is>
      </c>
      <c r="F1" s="13" t="inlineStr">
        <is>
          <t>적용유가(원)</t>
        </is>
      </c>
      <c r="G1" s="13" t="inlineStr">
        <is>
          <t>주행거리(km)</t>
        </is>
      </c>
      <c r="H1" s="13" t="inlineStr">
        <is>
          <t>연료비(원)</t>
        </is>
      </c>
      <c r="I1" s="13" t="inlineStr">
        <is>
          <t>통행료(원)</t>
        </is>
      </c>
      <c r="J1" s="13" t="inlineStr">
        <is>
          <t>주차료(원)</t>
        </is>
      </c>
      <c r="K1" s="13" t="inlineStr">
        <is>
          <t>식비(원)</t>
        </is>
      </c>
      <c r="L1" s="13" t="inlineStr">
        <is>
          <t>일비(원)</t>
        </is>
      </c>
      <c r="M1" s="13" t="inlineStr">
        <is>
          <t>총액(원)</t>
        </is>
      </c>
      <c r="N1" s="13" t="inlineStr">
        <is>
          <t>출장시간</t>
        </is>
      </c>
      <c r="O1" s="13" t="inlineStr">
        <is>
          <t>경로엔진</t>
        </is>
      </c>
    </row>
    <row r="2">
      <c r="A2" s="14" t="inlineStr">
        <is>
          <t>홍길동</t>
        </is>
      </c>
      <c r="B2" s="14" t="inlineStr">
        <is>
          <t>근무지외 국내출장</t>
        </is>
      </c>
      <c r="C2" s="15" t="inlineStr">
        <is>
          <t>김천 → 서울역</t>
        </is>
      </c>
      <c r="D2" s="14" t="inlineStr">
        <is>
          <t>휘발유</t>
        </is>
      </c>
      <c r="E2" s="14" t="inlineStr">
        <is>
          <t>11.97 km/L</t>
        </is>
      </c>
      <c r="F2" s="14" t="n">
        <v>1857.61</v>
      </c>
      <c r="G2" s="14" t="n">
        <v>250</v>
      </c>
      <c r="H2" s="16" t="n">
        <v>38795</v>
      </c>
      <c r="I2" s="16" t="n">
        <v>14700</v>
      </c>
      <c r="J2" s="16" t="n">
        <v>0</v>
      </c>
      <c r="K2" s="16" t="n">
        <v>16666</v>
      </c>
      <c r="L2" s="16" t="n">
        <v>25000</v>
      </c>
      <c r="M2" s="16" t="n">
        <v>95161</v>
      </c>
      <c r="N2" s="14" t="inlineStr">
        <is>
          <t>4시간 54분</t>
        </is>
      </c>
      <c r="O2" s="14" t="inlineStr">
        <is>
          <t>카카오내비 길찾기</t>
        </is>
      </c>
    </row>
    <row r="3">
      <c r="A3" s="14" t="inlineStr">
        <is>
          <t>김철수</t>
        </is>
      </c>
      <c r="B3" s="14" t="inlineStr">
        <is>
          <t>근무지외 국내출장</t>
        </is>
      </c>
      <c r="C3" s="15" t="inlineStr">
        <is>
          <t>김천 → 대구</t>
        </is>
      </c>
      <c r="D3" s="14" t="inlineStr">
        <is>
          <t>휘발유</t>
        </is>
      </c>
      <c r="E3" s="14" t="inlineStr">
        <is>
          <t>11.97 km/L</t>
        </is>
      </c>
      <c r="F3" s="14" t="n">
        <v>1857.61</v>
      </c>
      <c r="G3" s="14" t="n">
        <v>300</v>
      </c>
      <c r="H3" s="16" t="n">
        <v>46556</v>
      </c>
      <c r="I3" s="16" t="n">
        <v>16800</v>
      </c>
      <c r="J3" s="16" t="n">
        <v>0</v>
      </c>
      <c r="K3" s="16" t="n">
        <v>16666</v>
      </c>
      <c r="L3" s="16" t="n">
        <v>25000</v>
      </c>
      <c r="M3" s="16" t="n">
        <v>105022</v>
      </c>
      <c r="N3" s="14" t="inlineStr">
        <is>
          <t>4시간 54분</t>
        </is>
      </c>
      <c r="O3" s="14" t="inlineStr">
        <is>
          <t>카카오내비 길찾기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2026-10-02T04:31:51Z</dcterms:created>
  <dcterms:modified xmlns:dcterms="http://purl.org/dc/terms/" xmlns:xsi="http://www.w3.org/2001/XMLSchema-instance" xsi:type="dcterms:W3CDTF">2026-10-04T08:24:54Z</dcterms:modified>
</cp:coreProperties>
</file>